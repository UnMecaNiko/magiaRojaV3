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dor\Documents\magiaRojaV3\.claude\worktrees\jovial-cartwright-1c66d6\presupuesto\"/>
    </mc:Choice>
  </mc:AlternateContent>
  <xr:revisionPtr revIDLastSave="0" documentId="13_ncr:1_{60D13D17-FD04-493E-8232-732B746283C6}" xr6:coauthVersionLast="47" xr6:coauthVersionMax="47" xr10:uidLastSave="{00000000-0000-0000-0000-000000000000}"/>
  <bookViews>
    <workbookView xWindow="2920" yWindow="2920" windowWidth="14400" windowHeight="7810" xr2:uid="{00000000-000D-0000-FFFF-FFFF00000000}"/>
  </bookViews>
  <sheets>
    <sheet name="Resumen" sheetId="1" r:id="rId1"/>
    <sheet name="Tarifas" sheetId="2" r:id="rId2"/>
    <sheet name="Materiales" sheetId="3" r:id="rId3"/>
    <sheet name="Horas" sheetId="4" r:id="rId4"/>
  </sheets>
  <calcPr calcId="181029"/>
</workbook>
</file>

<file path=xl/calcChain.xml><?xml version="1.0" encoding="utf-8"?>
<calcChain xmlns="http://schemas.openxmlformats.org/spreadsheetml/2006/main">
  <c r="E65" i="4" l="1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C25" i="1"/>
  <c r="B25" i="1"/>
  <c r="C24" i="1"/>
  <c r="B24" i="1"/>
  <c r="C23" i="1"/>
  <c r="B23" i="1"/>
  <c r="C22" i="1"/>
  <c r="B22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B6" i="1"/>
  <c r="I65" i="3" l="1"/>
  <c r="B5" i="1" s="1"/>
  <c r="G65" i="4"/>
  <c r="B7" i="1" s="1"/>
  <c r="B8" i="1" l="1"/>
</calcChain>
</file>

<file path=xl/sharedStrings.xml><?xml version="1.0" encoding="utf-8"?>
<sst xmlns="http://schemas.openxmlformats.org/spreadsheetml/2006/main" count="65" uniqueCount="48">
  <si>
    <t>Resumen de presupuesto — CNC Magia Roja v3</t>
  </si>
  <si>
    <t>INTERNO. Alcance: solo v3 (v1 y v2 son historia, no se presupuestan). Todo se calcula solo.</t>
  </si>
  <si>
    <t>TOTALES</t>
  </si>
  <si>
    <t>Total materiales (COP)</t>
  </si>
  <si>
    <t>Total horas</t>
  </si>
  <si>
    <t>Costo mano de obra (COP)</t>
  </si>
  <si>
    <t>COSTO TOTAL DEL PROYECTO (COP)</t>
  </si>
  <si>
    <t>HORAS Y COSTO POR PROCESO</t>
  </si>
  <si>
    <t>Proceso</t>
  </si>
  <si>
    <t>Horas</t>
  </si>
  <si>
    <t>Costo (COP)</t>
  </si>
  <si>
    <t>Mecánica</t>
  </si>
  <si>
    <t>Eléctrica</t>
  </si>
  <si>
    <t>Electrónica</t>
  </si>
  <si>
    <t>Programación/Configuración</t>
  </si>
  <si>
    <t>Pruebas</t>
  </si>
  <si>
    <t>Documentación</t>
  </si>
  <si>
    <t>Otro</t>
  </si>
  <si>
    <t>HORAS Y COSTO POR ROL</t>
  </si>
  <si>
    <t>Rol</t>
  </si>
  <si>
    <t>Mecánico</t>
  </si>
  <si>
    <t>Electricista</t>
  </si>
  <si>
    <t>Electrónico</t>
  </si>
  <si>
    <t>Programador</t>
  </si>
  <si>
    <t>Tarifas por hora por rol — CNC Magia Roja v3</t>
  </si>
  <si>
    <t>INTERNO. Amarillo = pendiente de definir. Fuente de la columna Rol para la hoja Horas.</t>
  </si>
  <si>
    <t>Tarifa (COP/hora)</t>
  </si>
  <si>
    <t>Notas</t>
  </si>
  <si>
    <t>PENDIENTE: definir tarifa</t>
  </si>
  <si>
    <t>Materiales — CNC Magia Roja v3</t>
  </si>
  <si>
    <t>INTERNO. Solo v3. Compra en COP: llenar H. Compra en USD: llenar J (USD) y K (tasa) y en H escribir la fórmula =J{fila}*K{fila}. bom_id enlaza con conocimiento/maquina/componentes/bom.yaml</t>
  </si>
  <si>
    <t>Fecha</t>
  </si>
  <si>
    <t>Categoría</t>
  </si>
  <si>
    <t>Ítem</t>
  </si>
  <si>
    <t>bom_id</t>
  </si>
  <si>
    <t>Proveedor</t>
  </si>
  <si>
    <t>Cantidad</t>
  </si>
  <si>
    <t>Unidad</t>
  </si>
  <si>
    <t>Precio unit. (COP)</t>
  </si>
  <si>
    <t>Total (COP)</t>
  </si>
  <si>
    <t>Precio unit. (USD)</t>
  </si>
  <si>
    <t>Tasa cambio (COP/USD)</t>
  </si>
  <si>
    <t>Estimado</t>
  </si>
  <si>
    <t>TOTAL MATERIALES (COP)</t>
  </si>
  <si>
    <t>Horas invertidas por proceso — CNC Magia Roja v3</t>
  </si>
  <si>
    <t>INTERNO. Solo v3. El costo se calcula con la tarifa del rol (hoja Tarifas).</t>
  </si>
  <si>
    <t>Quién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</si>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</sst>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#,##0.00;\(#,##0.00\);\-"/>
    <numFmt numFmtId="166" formatCode="0.0;\(0.0\);\-"/>
  </numFmts>
  <fonts count="10" x14ac:knownFonts="1">
    <font>
      <sz val="11"/>
      <color theme="1"/>
      <name val="Calibri"/>
      <family val="2"/>
      <scheme val="minor"/>
    </font>
    <font>
      <b/>
      <sz val="13"/>
      <color rgb="FF8B1A1A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0000"/>
      <name val="Arial"/>
    </font>
    <font>
      <b/>
      <sz val="10"/>
      <name val="Arial"/>
    </font>
    <font>
      <sz val="10"/>
      <color rgb="FF008000"/>
      <name val="Arial"/>
    </font>
    <font>
      <b/>
      <sz val="11"/>
      <color rgb="FF8B1A1A"/>
      <name val="Arial"/>
    </font>
  </fonts>
  <fills count="5">
    <fill>
      <patternFill patternType="none"/>
    </fill>
    <fill>
      <patternFill patternType="gray125"/>
    </fill>
    <fill>
      <patternFill patternType="solid">
        <fgColor rgb="FF8B1A1A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9" fillId="0" borderId="0" xfId="0" applyFont="1"/>
    <xf numFmtId="0" fontId="4" fillId="0" borderId="1" xfId="0" applyFont="1" applyBorder="1"/>
    <xf numFmtId="164" fontId="8" fillId="0" borderId="1" xfId="0" applyNumberFormat="1" applyFont="1" applyBorder="1"/>
    <xf numFmtId="166" fontId="8" fillId="0" borderId="1" xfId="0" applyNumberFormat="1" applyFont="1" applyBorder="1"/>
    <xf numFmtId="0" fontId="7" fillId="4" borderId="1" xfId="0" applyFont="1" applyFill="1" applyBorder="1"/>
    <xf numFmtId="164" fontId="7" fillId="4" borderId="1" xfId="0" applyNumberFormat="1" applyFont="1" applyFill="1" applyBorder="1"/>
    <xf numFmtId="0" fontId="3" fillId="2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/>
    <xf numFmtId="0" fontId="2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/>
    <xf numFmtId="164" fontId="6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6" fontId="7" fillId="4" borderId="1" xfId="0" applyNumberFormat="1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/>
  </sheetViews>
  <sheetFormatPr baseColWidth="10" defaultColWidth="8.7265625" defaultRowHeight="14.5" x14ac:dyDescent="0.35"/>
  <cols>
    <col min="1" max="1" width="34" customWidth="1"/>
    <col min="2" max="2" width="16" customWidth="1"/>
    <col min="3" max="3" width="18" customWidth="1"/>
  </cols>
  <sheetData>
    <row r="1" spans="1:3" ht="16.5" x14ac:dyDescent="0.35">
      <c r="A1" s="1" t="s">
        <v>0</v>
      </c>
    </row>
    <row r="2" spans="1:3" x14ac:dyDescent="0.35">
      <c r="A2" s="2" t="s">
        <v>1</v>
      </c>
    </row>
    <row r="4" spans="1:3" x14ac:dyDescent="0.35">
      <c r="A4" s="3" t="s">
        <v>2</v>
      </c>
    </row>
    <row r="5" spans="1:3" x14ac:dyDescent="0.35">
      <c r="A5" s="4" t="s">
        <v>3</v>
      </c>
      <c r="B5" s="5">
        <f>Materiales!I65</f>
        <v>0</v>
      </c>
    </row>
    <row r="6" spans="1:3" x14ac:dyDescent="0.35">
      <c r="A6" s="4" t="s">
        <v>4</v>
      </c>
      <c r="B6" s="6">
        <f>Horas!E65</f>
        <v>0</v>
      </c>
    </row>
    <row r="7" spans="1:3" x14ac:dyDescent="0.35">
      <c r="A7" s="4" t="s">
        <v>5</v>
      </c>
      <c r="B7" s="5">
        <f>Horas!G65</f>
        <v>0</v>
      </c>
    </row>
    <row r="8" spans="1:3" x14ac:dyDescent="0.35">
      <c r="A8" s="7" t="s">
        <v>6</v>
      </c>
      <c r="B8" s="8">
        <f>B5+B7</f>
        <v>0</v>
      </c>
    </row>
    <row r="10" spans="1:3" x14ac:dyDescent="0.35">
      <c r="A10" s="3" t="s">
        <v>7</v>
      </c>
    </row>
    <row r="11" spans="1:3" x14ac:dyDescent="0.35">
      <c r="A11" s="9" t="s">
        <v>8</v>
      </c>
      <c r="B11" s="9" t="s">
        <v>9</v>
      </c>
      <c r="C11" s="9" t="s">
        <v>10</v>
      </c>
    </row>
    <row r="12" spans="1:3" x14ac:dyDescent="0.35">
      <c r="A12" s="4" t="s">
        <v>11</v>
      </c>
      <c r="B12" s="6">
        <f>SUMIF(Horas!$B$4:$B$63,A12,Horas!$E$4:$E$63)</f>
        <v>0</v>
      </c>
      <c r="C12" s="5">
        <f>SUMIF(Horas!$B$4:$B$63,A12,Horas!$G$4:$G$63)</f>
        <v>0</v>
      </c>
    </row>
    <row r="13" spans="1:3" x14ac:dyDescent="0.35">
      <c r="A13" s="4" t="s">
        <v>12</v>
      </c>
      <c r="B13" s="6">
        <f>SUMIF(Horas!$B$4:$B$63,A13,Horas!$E$4:$E$63)</f>
        <v>0</v>
      </c>
      <c r="C13" s="5">
        <f>SUMIF(Horas!$B$4:$B$63,A13,Horas!$G$4:$G$63)</f>
        <v>0</v>
      </c>
    </row>
    <row r="14" spans="1:3" x14ac:dyDescent="0.35">
      <c r="A14" s="4" t="s">
        <v>13</v>
      </c>
      <c r="B14" s="6">
        <f>SUMIF(Horas!$B$4:$B$63,A14,Horas!$E$4:$E$63)</f>
        <v>0</v>
      </c>
      <c r="C14" s="5">
        <f>SUMIF(Horas!$B$4:$B$63,A14,Horas!$G$4:$G$63)</f>
        <v>0</v>
      </c>
    </row>
    <row r="15" spans="1:3" x14ac:dyDescent="0.35">
      <c r="A15" s="4" t="s">
        <v>14</v>
      </c>
      <c r="B15" s="6">
        <f>SUMIF(Horas!$B$4:$B$63,A15,Horas!$E$4:$E$63)</f>
        <v>0</v>
      </c>
      <c r="C15" s="5">
        <f>SUMIF(Horas!$B$4:$B$63,A15,Horas!$G$4:$G$63)</f>
        <v>0</v>
      </c>
    </row>
    <row r="16" spans="1:3" x14ac:dyDescent="0.35">
      <c r="A16" s="4" t="s">
        <v>15</v>
      </c>
      <c r="B16" s="6">
        <f>SUMIF(Horas!$B$4:$B$63,A16,Horas!$E$4:$E$63)</f>
        <v>0</v>
      </c>
      <c r="C16" s="5">
        <f>SUMIF(Horas!$B$4:$B$63,A16,Horas!$G$4:$G$63)</f>
        <v>0</v>
      </c>
    </row>
    <row r="17" spans="1:3" x14ac:dyDescent="0.35">
      <c r="A17" s="4" t="s">
        <v>16</v>
      </c>
      <c r="B17" s="6">
        <f>SUMIF(Horas!$B$4:$B$63,A17,Horas!$E$4:$E$63)</f>
        <v>0</v>
      </c>
      <c r="C17" s="5">
        <f>SUMIF(Horas!$B$4:$B$63,A17,Horas!$G$4:$G$63)</f>
        <v>0</v>
      </c>
    </row>
    <row r="18" spans="1:3" x14ac:dyDescent="0.35">
      <c r="A18" s="4" t="s">
        <v>17</v>
      </c>
      <c r="B18" s="6">
        <f>SUMIF(Horas!$B$4:$B$63,A18,Horas!$E$4:$E$63)</f>
        <v>0</v>
      </c>
      <c r="C18" s="5">
        <f>SUMIF(Horas!$B$4:$B$63,A18,Horas!$G$4:$G$63)</f>
        <v>0</v>
      </c>
    </row>
    <row r="20" spans="1:3" x14ac:dyDescent="0.35">
      <c r="A20" s="3" t="s">
        <v>18</v>
      </c>
    </row>
    <row r="21" spans="1:3" x14ac:dyDescent="0.35">
      <c r="A21" s="9" t="s">
        <v>19</v>
      </c>
      <c r="B21" s="9" t="s">
        <v>9</v>
      </c>
      <c r="C21" s="9" t="s">
        <v>10</v>
      </c>
    </row>
    <row r="22" spans="1:3" x14ac:dyDescent="0.35">
      <c r="A22" s="4" t="s">
        <v>20</v>
      </c>
      <c r="B22" s="6">
        <f>SUMIF(Horas!$C$4:$C$63,A22,Horas!$E$4:$E$63)</f>
        <v>0</v>
      </c>
      <c r="C22" s="5">
        <f>SUMIF(Horas!$C$4:$C$63,A22,Horas!$G$4:$G$63)</f>
        <v>0</v>
      </c>
    </row>
    <row r="23" spans="1:3" x14ac:dyDescent="0.35">
      <c r="A23" s="4" t="s">
        <v>21</v>
      </c>
      <c r="B23" s="6">
        <f>SUMIF(Horas!$C$4:$C$63,A23,Horas!$E$4:$E$63)</f>
        <v>0</v>
      </c>
      <c r="C23" s="5">
        <f>SUMIF(Horas!$C$4:$C$63,A23,Horas!$G$4:$G$63)</f>
        <v>0</v>
      </c>
    </row>
    <row r="24" spans="1:3" x14ac:dyDescent="0.35">
      <c r="A24" s="4" t="s">
        <v>22</v>
      </c>
      <c r="B24" s="6">
        <f>SUMIF(Horas!$C$4:$C$63,A24,Horas!$E$4:$E$63)</f>
        <v>0</v>
      </c>
      <c r="C24" s="5">
        <f>SUMIF(Horas!$C$4:$C$63,A24,Horas!$G$4:$G$63)</f>
        <v>0</v>
      </c>
    </row>
    <row r="25" spans="1:3" x14ac:dyDescent="0.35">
      <c r="A25" s="4" t="s">
        <v>23</v>
      </c>
      <c r="B25" s="6">
        <f>SUMIF(Horas!$C$4:$C$63,A25,Horas!$E$4:$E$63)</f>
        <v>0</v>
      </c>
      <c r="C25" s="5">
        <f>SUMIF(Horas!$C$4:$C$63,A25,Horas!$G$4:$G$63)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18" customWidth="1"/>
    <col min="2" max="2" width="20" customWidth="1"/>
    <col min="3" max="3" width="46" customWidth="1"/>
  </cols>
  <sheetData>
    <row r="1" spans="1:3" ht="16.5" x14ac:dyDescent="0.35">
      <c r="A1" s="1" t="s">
        <v>24</v>
      </c>
    </row>
    <row r="2" spans="1:3" x14ac:dyDescent="0.35">
      <c r="A2" s="2" t="s">
        <v>25</v>
      </c>
    </row>
    <row r="3" spans="1:3" x14ac:dyDescent="0.35">
      <c r="A3" s="9" t="s">
        <v>19</v>
      </c>
      <c r="B3" s="9" t="s">
        <v>26</v>
      </c>
      <c r="C3" s="9" t="s">
        <v>27</v>
      </c>
    </row>
    <row r="4" spans="1:3" x14ac:dyDescent="0.35">
      <c r="A4" s="4" t="s">
        <v>20</v>
      </c>
      <c r="B4" s="10">
        <v>0</v>
      </c>
      <c r="C4" s="11" t="s">
        <v>28</v>
      </c>
    </row>
    <row r="5" spans="1:3" x14ac:dyDescent="0.35">
      <c r="A5" s="4" t="s">
        <v>21</v>
      </c>
      <c r="B5" s="10">
        <v>0</v>
      </c>
      <c r="C5" s="11" t="s">
        <v>28</v>
      </c>
    </row>
    <row r="6" spans="1:3" x14ac:dyDescent="0.35">
      <c r="A6" s="4" t="s">
        <v>22</v>
      </c>
      <c r="B6" s="10">
        <v>0</v>
      </c>
      <c r="C6" s="11" t="s">
        <v>28</v>
      </c>
    </row>
    <row r="7" spans="1:3" x14ac:dyDescent="0.35">
      <c r="A7" s="4" t="s">
        <v>23</v>
      </c>
      <c r="B7" s="10">
        <v>0</v>
      </c>
      <c r="C7" s="11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5"/>
  <sheetViews>
    <sheetView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12" customWidth="1"/>
    <col min="2" max="2" width="14" customWidth="1"/>
    <col min="3" max="3" width="30" customWidth="1"/>
    <col min="4" max="5" width="18" customWidth="1"/>
    <col min="6" max="6" width="10" customWidth="1"/>
    <col min="7" max="7" width="9" customWidth="1"/>
    <col min="8" max="10" width="16" customWidth="1"/>
    <col min="11" max="11" width="18" customWidth="1"/>
    <col min="12" max="12" width="10" customWidth="1"/>
    <col min="13" max="13" width="36" customWidth="1"/>
  </cols>
  <sheetData>
    <row r="1" spans="1:13" ht="16.5" x14ac:dyDescent="0.35">
      <c r="A1" s="1" t="s">
        <v>29</v>
      </c>
    </row>
    <row r="2" spans="1:13" x14ac:dyDescent="0.35">
      <c r="A2" s="2" t="s">
        <v>30</v>
      </c>
    </row>
    <row r="3" spans="1:13" ht="26" x14ac:dyDescent="0.35">
      <c r="A3" s="9" t="s">
        <v>31</v>
      </c>
      <c r="B3" s="9" t="s">
        <v>32</v>
      </c>
      <c r="C3" s="9" t="s">
        <v>33</v>
      </c>
      <c r="D3" s="9" t="s">
        <v>34</v>
      </c>
      <c r="E3" s="9" t="s">
        <v>35</v>
      </c>
      <c r="F3" s="9" t="s">
        <v>36</v>
      </c>
      <c r="G3" s="9" t="s">
        <v>37</v>
      </c>
      <c r="H3" s="9" t="s">
        <v>38</v>
      </c>
      <c r="I3" s="9" t="s">
        <v>39</v>
      </c>
      <c r="J3" s="9" t="s">
        <v>40</v>
      </c>
      <c r="K3" s="9" t="s">
        <v>41</v>
      </c>
      <c r="L3" s="9" t="s">
        <v>42</v>
      </c>
      <c r="M3" s="9" t="s">
        <v>27</v>
      </c>
    </row>
    <row r="4" spans="1:13" x14ac:dyDescent="0.35">
      <c r="A4" s="12"/>
      <c r="B4" s="12"/>
      <c r="C4" s="12"/>
      <c r="D4" s="12"/>
      <c r="E4" s="12"/>
      <c r="F4" s="12"/>
      <c r="G4" s="12"/>
      <c r="H4" s="13"/>
      <c r="I4" s="14" t="str">
        <f t="shared" ref="I4:I35" si="0">IF(AND(ISNUMBER(F4),ISNUMBER(H4)),F4*H4,"")</f>
        <v/>
      </c>
      <c r="J4" s="15"/>
      <c r="K4" s="13"/>
      <c r="L4" s="12"/>
      <c r="M4" s="12"/>
    </row>
    <row r="5" spans="1:13" x14ac:dyDescent="0.35">
      <c r="A5" s="12"/>
      <c r="B5" s="12"/>
      <c r="C5" s="12"/>
      <c r="D5" s="12"/>
      <c r="E5" s="12"/>
      <c r="F5" s="12"/>
      <c r="G5" s="12"/>
      <c r="H5" s="13"/>
      <c r="I5" s="14" t="str">
        <f t="shared" si="0"/>
        <v/>
      </c>
      <c r="J5" s="15"/>
      <c r="K5" s="13"/>
      <c r="L5" s="12"/>
      <c r="M5" s="12"/>
    </row>
    <row r="6" spans="1:13" x14ac:dyDescent="0.35">
      <c r="A6" s="12"/>
      <c r="B6" s="12"/>
      <c r="C6" s="12"/>
      <c r="D6" s="12"/>
      <c r="E6" s="12"/>
      <c r="F6" s="12"/>
      <c r="G6" s="12"/>
      <c r="H6" s="13"/>
      <c r="I6" s="14" t="str">
        <f t="shared" si="0"/>
        <v/>
      </c>
      <c r="J6" s="15"/>
      <c r="K6" s="13"/>
      <c r="L6" s="12"/>
      <c r="M6" s="12"/>
    </row>
    <row r="7" spans="1:13" x14ac:dyDescent="0.35">
      <c r="A7" s="12"/>
      <c r="B7" s="12"/>
      <c r="C7" s="12"/>
      <c r="D7" s="12"/>
      <c r="E7" s="12"/>
      <c r="F7" s="12"/>
      <c r="G7" s="12"/>
      <c r="H7" s="13"/>
      <c r="I7" s="14" t="str">
        <f t="shared" si="0"/>
        <v/>
      </c>
      <c r="J7" s="15"/>
      <c r="K7" s="13"/>
      <c r="L7" s="12"/>
      <c r="M7" s="12"/>
    </row>
    <row r="8" spans="1:13" x14ac:dyDescent="0.35">
      <c r="A8" s="12"/>
      <c r="B8" s="12"/>
      <c r="C8" s="12"/>
      <c r="D8" s="12"/>
      <c r="E8" s="12"/>
      <c r="F8" s="12"/>
      <c r="G8" s="12"/>
      <c r="H8" s="13"/>
      <c r="I8" s="14" t="str">
        <f t="shared" si="0"/>
        <v/>
      </c>
      <c r="J8" s="15"/>
      <c r="K8" s="13"/>
      <c r="L8" s="12"/>
      <c r="M8" s="12"/>
    </row>
    <row r="9" spans="1:13" x14ac:dyDescent="0.35">
      <c r="A9" s="12"/>
      <c r="B9" s="12"/>
      <c r="C9" s="12"/>
      <c r="D9" s="12"/>
      <c r="E9" s="12"/>
      <c r="F9" s="12"/>
      <c r="G9" s="12"/>
      <c r="H9" s="13"/>
      <c r="I9" s="14" t="str">
        <f t="shared" si="0"/>
        <v/>
      </c>
      <c r="J9" s="15"/>
      <c r="K9" s="13"/>
      <c r="L9" s="12"/>
      <c r="M9" s="12"/>
    </row>
    <row r="10" spans="1:13" x14ac:dyDescent="0.35">
      <c r="A10" s="12"/>
      <c r="B10" s="12"/>
      <c r="C10" s="12"/>
      <c r="D10" s="12"/>
      <c r="E10" s="12"/>
      <c r="F10" s="12"/>
      <c r="G10" s="12"/>
      <c r="H10" s="13"/>
      <c r="I10" s="14" t="str">
        <f t="shared" si="0"/>
        <v/>
      </c>
      <c r="J10" s="15"/>
      <c r="K10" s="13"/>
      <c r="L10" s="12"/>
      <c r="M10" s="12"/>
    </row>
    <row r="11" spans="1:13" x14ac:dyDescent="0.35">
      <c r="A11" s="12"/>
      <c r="B11" s="12"/>
      <c r="C11" s="12"/>
      <c r="D11" s="12"/>
      <c r="E11" s="12"/>
      <c r="F11" s="12"/>
      <c r="G11" s="12"/>
      <c r="H11" s="13"/>
      <c r="I11" s="14" t="str">
        <f t="shared" si="0"/>
        <v/>
      </c>
      <c r="J11" s="15"/>
      <c r="K11" s="13"/>
      <c r="L11" s="12"/>
      <c r="M11" s="12"/>
    </row>
    <row r="12" spans="1:13" x14ac:dyDescent="0.35">
      <c r="A12" s="12"/>
      <c r="B12" s="12"/>
      <c r="C12" s="12"/>
      <c r="D12" s="12"/>
      <c r="E12" s="12"/>
      <c r="F12" s="12"/>
      <c r="G12" s="12"/>
      <c r="H12" s="13"/>
      <c r="I12" s="14" t="str">
        <f t="shared" si="0"/>
        <v/>
      </c>
      <c r="J12" s="15"/>
      <c r="K12" s="13"/>
      <c r="L12" s="12"/>
      <c r="M12" s="12"/>
    </row>
    <row r="13" spans="1:13" x14ac:dyDescent="0.35">
      <c r="A13" s="12"/>
      <c r="B13" s="12"/>
      <c r="C13" s="12"/>
      <c r="D13" s="12"/>
      <c r="E13" s="12"/>
      <c r="F13" s="12"/>
      <c r="G13" s="12"/>
      <c r="H13" s="13"/>
      <c r="I13" s="14" t="str">
        <f t="shared" si="0"/>
        <v/>
      </c>
      <c r="J13" s="15"/>
      <c r="K13" s="13"/>
      <c r="L13" s="12"/>
      <c r="M13" s="12"/>
    </row>
    <row r="14" spans="1:13" x14ac:dyDescent="0.35">
      <c r="A14" s="12"/>
      <c r="B14" s="12"/>
      <c r="C14" s="12"/>
      <c r="D14" s="12"/>
      <c r="E14" s="12"/>
      <c r="F14" s="12"/>
      <c r="G14" s="12"/>
      <c r="H14" s="13"/>
      <c r="I14" s="14" t="str">
        <f t="shared" si="0"/>
        <v/>
      </c>
      <c r="J14" s="15"/>
      <c r="K14" s="13"/>
      <c r="L14" s="12"/>
      <c r="M14" s="12"/>
    </row>
    <row r="15" spans="1:13" x14ac:dyDescent="0.35">
      <c r="A15" s="12"/>
      <c r="B15" s="12"/>
      <c r="C15" s="12"/>
      <c r="D15" s="12"/>
      <c r="E15" s="12"/>
      <c r="F15" s="12"/>
      <c r="G15" s="12"/>
      <c r="H15" s="13"/>
      <c r="I15" s="14" t="str">
        <f t="shared" si="0"/>
        <v/>
      </c>
      <c r="J15" s="15"/>
      <c r="K15" s="13"/>
      <c r="L15" s="12"/>
      <c r="M15" s="12"/>
    </row>
    <row r="16" spans="1:13" x14ac:dyDescent="0.35">
      <c r="A16" s="12"/>
      <c r="B16" s="12"/>
      <c r="C16" s="12"/>
      <c r="D16" s="12"/>
      <c r="E16" s="12"/>
      <c r="F16" s="12"/>
      <c r="G16" s="12"/>
      <c r="H16" s="13"/>
      <c r="I16" s="14" t="str">
        <f t="shared" si="0"/>
        <v/>
      </c>
      <c r="J16" s="15"/>
      <c r="K16" s="13"/>
      <c r="L16" s="12"/>
      <c r="M16" s="12"/>
    </row>
    <row r="17" spans="1:13" x14ac:dyDescent="0.35">
      <c r="A17" s="12"/>
      <c r="B17" s="12"/>
      <c r="C17" s="12"/>
      <c r="D17" s="12"/>
      <c r="E17" s="12"/>
      <c r="F17" s="12"/>
      <c r="G17" s="12"/>
      <c r="H17" s="13"/>
      <c r="I17" s="14" t="str">
        <f t="shared" si="0"/>
        <v/>
      </c>
      <c r="J17" s="15"/>
      <c r="K17" s="13"/>
      <c r="L17" s="12"/>
      <c r="M17" s="12"/>
    </row>
    <row r="18" spans="1:13" x14ac:dyDescent="0.35">
      <c r="A18" s="12"/>
      <c r="B18" s="12"/>
      <c r="C18" s="12"/>
      <c r="D18" s="12"/>
      <c r="E18" s="12"/>
      <c r="F18" s="12"/>
      <c r="G18" s="12"/>
      <c r="H18" s="13"/>
      <c r="I18" s="14" t="str">
        <f t="shared" si="0"/>
        <v/>
      </c>
      <c r="J18" s="15"/>
      <c r="K18" s="13"/>
      <c r="L18" s="12"/>
      <c r="M18" s="12"/>
    </row>
    <row r="19" spans="1:13" x14ac:dyDescent="0.35">
      <c r="A19" s="12"/>
      <c r="B19" s="12"/>
      <c r="C19" s="12"/>
      <c r="D19" s="12"/>
      <c r="E19" s="12"/>
      <c r="F19" s="12"/>
      <c r="G19" s="12"/>
      <c r="H19" s="13"/>
      <c r="I19" s="14" t="str">
        <f t="shared" si="0"/>
        <v/>
      </c>
      <c r="J19" s="15"/>
      <c r="K19" s="13"/>
      <c r="L19" s="12"/>
      <c r="M19" s="12"/>
    </row>
    <row r="20" spans="1:13" x14ac:dyDescent="0.35">
      <c r="A20" s="12"/>
      <c r="B20" s="12"/>
      <c r="C20" s="12"/>
      <c r="D20" s="12"/>
      <c r="E20" s="12"/>
      <c r="F20" s="12"/>
      <c r="G20" s="12"/>
      <c r="H20" s="13"/>
      <c r="I20" s="14" t="str">
        <f t="shared" si="0"/>
        <v/>
      </c>
      <c r="J20" s="15"/>
      <c r="K20" s="13"/>
      <c r="L20" s="12"/>
      <c r="M20" s="12"/>
    </row>
    <row r="21" spans="1:13" x14ac:dyDescent="0.35">
      <c r="A21" s="12"/>
      <c r="B21" s="12"/>
      <c r="C21" s="12"/>
      <c r="D21" s="12"/>
      <c r="E21" s="12"/>
      <c r="F21" s="12"/>
      <c r="G21" s="12"/>
      <c r="H21" s="13"/>
      <c r="I21" s="14" t="str">
        <f t="shared" si="0"/>
        <v/>
      </c>
      <c r="J21" s="15"/>
      <c r="K21" s="13"/>
      <c r="L21" s="12"/>
      <c r="M21" s="12"/>
    </row>
    <row r="22" spans="1:13" x14ac:dyDescent="0.35">
      <c r="A22" s="12"/>
      <c r="B22" s="12"/>
      <c r="C22" s="12"/>
      <c r="D22" s="12"/>
      <c r="E22" s="12"/>
      <c r="F22" s="12"/>
      <c r="G22" s="12"/>
      <c r="H22" s="13"/>
      <c r="I22" s="14" t="str">
        <f t="shared" si="0"/>
        <v/>
      </c>
      <c r="J22" s="15"/>
      <c r="K22" s="13"/>
      <c r="L22" s="12"/>
      <c r="M22" s="12"/>
    </row>
    <row r="23" spans="1:13" x14ac:dyDescent="0.35">
      <c r="A23" s="12"/>
      <c r="B23" s="12"/>
      <c r="C23" s="12"/>
      <c r="D23" s="12"/>
      <c r="E23" s="12"/>
      <c r="F23" s="12"/>
      <c r="G23" s="12"/>
      <c r="H23" s="13"/>
      <c r="I23" s="14" t="str">
        <f t="shared" si="0"/>
        <v/>
      </c>
      <c r="J23" s="15"/>
      <c r="K23" s="13"/>
      <c r="L23" s="12"/>
      <c r="M23" s="12"/>
    </row>
    <row r="24" spans="1:13" x14ac:dyDescent="0.35">
      <c r="A24" s="12"/>
      <c r="B24" s="12"/>
      <c r="C24" s="12"/>
      <c r="D24" s="12"/>
      <c r="E24" s="12"/>
      <c r="F24" s="12"/>
      <c r="G24" s="12"/>
      <c r="H24" s="13"/>
      <c r="I24" s="14" t="str">
        <f t="shared" si="0"/>
        <v/>
      </c>
      <c r="J24" s="15"/>
      <c r="K24" s="13"/>
      <c r="L24" s="12"/>
      <c r="M24" s="12"/>
    </row>
    <row r="25" spans="1:13" x14ac:dyDescent="0.35">
      <c r="A25" s="12"/>
      <c r="B25" s="12"/>
      <c r="C25" s="12"/>
      <c r="D25" s="12"/>
      <c r="E25" s="12"/>
      <c r="F25" s="12"/>
      <c r="G25" s="12"/>
      <c r="H25" s="13"/>
      <c r="I25" s="14" t="str">
        <f t="shared" si="0"/>
        <v/>
      </c>
      <c r="J25" s="15"/>
      <c r="K25" s="13"/>
      <c r="L25" s="12"/>
      <c r="M25" s="12"/>
    </row>
    <row r="26" spans="1:13" x14ac:dyDescent="0.35">
      <c r="A26" s="12"/>
      <c r="B26" s="12"/>
      <c r="C26" s="12"/>
      <c r="D26" s="12"/>
      <c r="E26" s="12"/>
      <c r="F26" s="12"/>
      <c r="G26" s="12"/>
      <c r="H26" s="13"/>
      <c r="I26" s="14" t="str">
        <f t="shared" si="0"/>
        <v/>
      </c>
      <c r="J26" s="15"/>
      <c r="K26" s="13"/>
      <c r="L26" s="12"/>
      <c r="M26" s="12"/>
    </row>
    <row r="27" spans="1:13" x14ac:dyDescent="0.35">
      <c r="A27" s="12"/>
      <c r="B27" s="12"/>
      <c r="C27" s="12"/>
      <c r="D27" s="12"/>
      <c r="E27" s="12"/>
      <c r="F27" s="12"/>
      <c r="G27" s="12"/>
      <c r="H27" s="13"/>
      <c r="I27" s="14" t="str">
        <f t="shared" si="0"/>
        <v/>
      </c>
      <c r="J27" s="15"/>
      <c r="K27" s="13"/>
      <c r="L27" s="12"/>
      <c r="M27" s="12"/>
    </row>
    <row r="28" spans="1:13" x14ac:dyDescent="0.35">
      <c r="A28" s="12"/>
      <c r="B28" s="12"/>
      <c r="C28" s="12"/>
      <c r="D28" s="12"/>
      <c r="E28" s="12"/>
      <c r="F28" s="12"/>
      <c r="G28" s="12"/>
      <c r="H28" s="13"/>
      <c r="I28" s="14" t="str">
        <f t="shared" si="0"/>
        <v/>
      </c>
      <c r="J28" s="15"/>
      <c r="K28" s="13"/>
      <c r="L28" s="12"/>
      <c r="M28" s="12"/>
    </row>
    <row r="29" spans="1:13" x14ac:dyDescent="0.35">
      <c r="A29" s="12"/>
      <c r="B29" s="12"/>
      <c r="C29" s="12"/>
      <c r="D29" s="12"/>
      <c r="E29" s="12"/>
      <c r="F29" s="12"/>
      <c r="G29" s="12"/>
      <c r="H29" s="13"/>
      <c r="I29" s="14" t="str">
        <f t="shared" si="0"/>
        <v/>
      </c>
      <c r="J29" s="15"/>
      <c r="K29" s="13"/>
      <c r="L29" s="12"/>
      <c r="M29" s="12"/>
    </row>
    <row r="30" spans="1:13" x14ac:dyDescent="0.35">
      <c r="A30" s="12"/>
      <c r="B30" s="12"/>
      <c r="C30" s="12"/>
      <c r="D30" s="12"/>
      <c r="E30" s="12"/>
      <c r="F30" s="12"/>
      <c r="G30" s="12"/>
      <c r="H30" s="13"/>
      <c r="I30" s="14" t="str">
        <f t="shared" si="0"/>
        <v/>
      </c>
      <c r="J30" s="15"/>
      <c r="K30" s="13"/>
      <c r="L30" s="12"/>
      <c r="M30" s="12"/>
    </row>
    <row r="31" spans="1:13" x14ac:dyDescent="0.35">
      <c r="A31" s="12"/>
      <c r="B31" s="12"/>
      <c r="C31" s="12"/>
      <c r="D31" s="12"/>
      <c r="E31" s="12"/>
      <c r="F31" s="12"/>
      <c r="G31" s="12"/>
      <c r="H31" s="13"/>
      <c r="I31" s="14" t="str">
        <f t="shared" si="0"/>
        <v/>
      </c>
      <c r="J31" s="15"/>
      <c r="K31" s="13"/>
      <c r="L31" s="12"/>
      <c r="M31" s="12"/>
    </row>
    <row r="32" spans="1:13" x14ac:dyDescent="0.35">
      <c r="A32" s="12"/>
      <c r="B32" s="12"/>
      <c r="C32" s="12"/>
      <c r="D32" s="12"/>
      <c r="E32" s="12"/>
      <c r="F32" s="12"/>
      <c r="G32" s="12"/>
      <c r="H32" s="13"/>
      <c r="I32" s="14" t="str">
        <f t="shared" si="0"/>
        <v/>
      </c>
      <c r="J32" s="15"/>
      <c r="K32" s="13"/>
      <c r="L32" s="12"/>
      <c r="M32" s="12"/>
    </row>
    <row r="33" spans="1:13" x14ac:dyDescent="0.35">
      <c r="A33" s="12"/>
      <c r="B33" s="12"/>
      <c r="C33" s="12"/>
      <c r="D33" s="12"/>
      <c r="E33" s="12"/>
      <c r="F33" s="12"/>
      <c r="G33" s="12"/>
      <c r="H33" s="13"/>
      <c r="I33" s="14" t="str">
        <f t="shared" si="0"/>
        <v/>
      </c>
      <c r="J33" s="15"/>
      <c r="K33" s="13"/>
      <c r="L33" s="12"/>
      <c r="M33" s="12"/>
    </row>
    <row r="34" spans="1:13" x14ac:dyDescent="0.35">
      <c r="A34" s="12"/>
      <c r="B34" s="12"/>
      <c r="C34" s="12"/>
      <c r="D34" s="12"/>
      <c r="E34" s="12"/>
      <c r="F34" s="12"/>
      <c r="G34" s="12"/>
      <c r="H34" s="13"/>
      <c r="I34" s="14" t="str">
        <f t="shared" si="0"/>
        <v/>
      </c>
      <c r="J34" s="15"/>
      <c r="K34" s="13"/>
      <c r="L34" s="12"/>
      <c r="M34" s="12"/>
    </row>
    <row r="35" spans="1:13" x14ac:dyDescent="0.35">
      <c r="A35" s="12"/>
      <c r="B35" s="12"/>
      <c r="C35" s="12"/>
      <c r="D35" s="12"/>
      <c r="E35" s="12"/>
      <c r="F35" s="12"/>
      <c r="G35" s="12"/>
      <c r="H35" s="13"/>
      <c r="I35" s="14" t="str">
        <f t="shared" si="0"/>
        <v/>
      </c>
      <c r="J35" s="15"/>
      <c r="K35" s="13"/>
      <c r="L35" s="12"/>
      <c r="M35" s="12"/>
    </row>
    <row r="36" spans="1:13" x14ac:dyDescent="0.35">
      <c r="A36" s="12"/>
      <c r="B36" s="12"/>
      <c r="C36" s="12"/>
      <c r="D36" s="12"/>
      <c r="E36" s="12"/>
      <c r="F36" s="12"/>
      <c r="G36" s="12"/>
      <c r="H36" s="13"/>
      <c r="I36" s="14" t="str">
        <f t="shared" ref="I36:I67" si="1">IF(AND(ISNUMBER(F36),ISNUMBER(H36)),F36*H36,"")</f>
        <v/>
      </c>
      <c r="J36" s="15"/>
      <c r="K36" s="13"/>
      <c r="L36" s="12"/>
      <c r="M36" s="12"/>
    </row>
    <row r="37" spans="1:13" x14ac:dyDescent="0.35">
      <c r="A37" s="12"/>
      <c r="B37" s="12"/>
      <c r="C37" s="12"/>
      <c r="D37" s="12"/>
      <c r="E37" s="12"/>
      <c r="F37" s="12"/>
      <c r="G37" s="12"/>
      <c r="H37" s="13"/>
      <c r="I37" s="14" t="str">
        <f t="shared" si="1"/>
        <v/>
      </c>
      <c r="J37" s="15"/>
      <c r="K37" s="13"/>
      <c r="L37" s="12"/>
      <c r="M37" s="12"/>
    </row>
    <row r="38" spans="1:13" x14ac:dyDescent="0.35">
      <c r="A38" s="12"/>
      <c r="B38" s="12"/>
      <c r="C38" s="12"/>
      <c r="D38" s="12"/>
      <c r="E38" s="12"/>
      <c r="F38" s="12"/>
      <c r="G38" s="12"/>
      <c r="H38" s="13"/>
      <c r="I38" s="14" t="str">
        <f t="shared" si="1"/>
        <v/>
      </c>
      <c r="J38" s="15"/>
      <c r="K38" s="13"/>
      <c r="L38" s="12"/>
      <c r="M38" s="12"/>
    </row>
    <row r="39" spans="1:13" x14ac:dyDescent="0.35">
      <c r="A39" s="12"/>
      <c r="B39" s="12"/>
      <c r="C39" s="12"/>
      <c r="D39" s="12"/>
      <c r="E39" s="12"/>
      <c r="F39" s="12"/>
      <c r="G39" s="12"/>
      <c r="H39" s="13"/>
      <c r="I39" s="14" t="str">
        <f t="shared" si="1"/>
        <v/>
      </c>
      <c r="J39" s="15"/>
      <c r="K39" s="13"/>
      <c r="L39" s="12"/>
      <c r="M39" s="12"/>
    </row>
    <row r="40" spans="1:13" x14ac:dyDescent="0.35">
      <c r="A40" s="12"/>
      <c r="B40" s="12"/>
      <c r="C40" s="12"/>
      <c r="D40" s="12"/>
      <c r="E40" s="12"/>
      <c r="F40" s="12"/>
      <c r="G40" s="12"/>
      <c r="H40" s="13"/>
      <c r="I40" s="14" t="str">
        <f t="shared" si="1"/>
        <v/>
      </c>
      <c r="J40" s="15"/>
      <c r="K40" s="13"/>
      <c r="L40" s="12"/>
      <c r="M40" s="12"/>
    </row>
    <row r="41" spans="1:13" x14ac:dyDescent="0.35">
      <c r="A41" s="12"/>
      <c r="B41" s="12"/>
      <c r="C41" s="12"/>
      <c r="D41" s="12"/>
      <c r="E41" s="12"/>
      <c r="F41" s="12"/>
      <c r="G41" s="12"/>
      <c r="H41" s="13"/>
      <c r="I41" s="14" t="str">
        <f t="shared" si="1"/>
        <v/>
      </c>
      <c r="J41" s="15"/>
      <c r="K41" s="13"/>
      <c r="L41" s="12"/>
      <c r="M41" s="12"/>
    </row>
    <row r="42" spans="1:13" x14ac:dyDescent="0.35">
      <c r="A42" s="12"/>
      <c r="B42" s="12"/>
      <c r="C42" s="12"/>
      <c r="D42" s="12"/>
      <c r="E42" s="12"/>
      <c r="F42" s="12"/>
      <c r="G42" s="12"/>
      <c r="H42" s="13"/>
      <c r="I42" s="14" t="str">
        <f t="shared" si="1"/>
        <v/>
      </c>
      <c r="J42" s="15"/>
      <c r="K42" s="13"/>
      <c r="L42" s="12"/>
      <c r="M42" s="12"/>
    </row>
    <row r="43" spans="1:13" x14ac:dyDescent="0.35">
      <c r="A43" s="12"/>
      <c r="B43" s="12"/>
      <c r="C43" s="12"/>
      <c r="D43" s="12"/>
      <c r="E43" s="12"/>
      <c r="F43" s="12"/>
      <c r="G43" s="12"/>
      <c r="H43" s="13"/>
      <c r="I43" s="14" t="str">
        <f t="shared" si="1"/>
        <v/>
      </c>
      <c r="J43" s="15"/>
      <c r="K43" s="13"/>
      <c r="L43" s="12"/>
      <c r="M43" s="12"/>
    </row>
    <row r="44" spans="1:13" x14ac:dyDescent="0.35">
      <c r="A44" s="12"/>
      <c r="B44" s="12"/>
      <c r="C44" s="12"/>
      <c r="D44" s="12"/>
      <c r="E44" s="12"/>
      <c r="F44" s="12"/>
      <c r="G44" s="12"/>
      <c r="H44" s="13"/>
      <c r="I44" s="14" t="str">
        <f t="shared" si="1"/>
        <v/>
      </c>
      <c r="J44" s="15"/>
      <c r="K44" s="13"/>
      <c r="L44" s="12"/>
      <c r="M44" s="12"/>
    </row>
    <row r="45" spans="1:13" x14ac:dyDescent="0.35">
      <c r="A45" s="12"/>
      <c r="B45" s="12"/>
      <c r="C45" s="12"/>
      <c r="D45" s="12"/>
      <c r="E45" s="12"/>
      <c r="F45" s="12"/>
      <c r="G45" s="12"/>
      <c r="H45" s="13"/>
      <c r="I45" s="14" t="str">
        <f t="shared" si="1"/>
        <v/>
      </c>
      <c r="J45" s="15"/>
      <c r="K45" s="13"/>
      <c r="L45" s="12"/>
      <c r="M45" s="12"/>
    </row>
    <row r="46" spans="1:13" x14ac:dyDescent="0.35">
      <c r="A46" s="12"/>
      <c r="B46" s="12"/>
      <c r="C46" s="12"/>
      <c r="D46" s="12"/>
      <c r="E46" s="12"/>
      <c r="F46" s="12"/>
      <c r="G46" s="12"/>
      <c r="H46" s="13"/>
      <c r="I46" s="14" t="str">
        <f t="shared" si="1"/>
        <v/>
      </c>
      <c r="J46" s="15"/>
      <c r="K46" s="13"/>
      <c r="L46" s="12"/>
      <c r="M46" s="12"/>
    </row>
    <row r="47" spans="1:13" x14ac:dyDescent="0.35">
      <c r="A47" s="12"/>
      <c r="B47" s="12"/>
      <c r="C47" s="12"/>
      <c r="D47" s="12"/>
      <c r="E47" s="12"/>
      <c r="F47" s="12"/>
      <c r="G47" s="12"/>
      <c r="H47" s="13"/>
      <c r="I47" s="14" t="str">
        <f t="shared" si="1"/>
        <v/>
      </c>
      <c r="J47" s="15"/>
      <c r="K47" s="13"/>
      <c r="L47" s="12"/>
      <c r="M47" s="12"/>
    </row>
    <row r="48" spans="1:13" x14ac:dyDescent="0.35">
      <c r="A48" s="12"/>
      <c r="B48" s="12"/>
      <c r="C48" s="12"/>
      <c r="D48" s="12"/>
      <c r="E48" s="12"/>
      <c r="F48" s="12"/>
      <c r="G48" s="12"/>
      <c r="H48" s="13"/>
      <c r="I48" s="14" t="str">
        <f t="shared" si="1"/>
        <v/>
      </c>
      <c r="J48" s="15"/>
      <c r="K48" s="13"/>
      <c r="L48" s="12"/>
      <c r="M48" s="12"/>
    </row>
    <row r="49" spans="1:13" x14ac:dyDescent="0.35">
      <c r="A49" s="12"/>
      <c r="B49" s="12"/>
      <c r="C49" s="12"/>
      <c r="D49" s="12"/>
      <c r="E49" s="12"/>
      <c r="F49" s="12"/>
      <c r="G49" s="12"/>
      <c r="H49" s="13"/>
      <c r="I49" s="14" t="str">
        <f t="shared" si="1"/>
        <v/>
      </c>
      <c r="J49" s="15"/>
      <c r="K49" s="13"/>
      <c r="L49" s="12"/>
      <c r="M49" s="12"/>
    </row>
    <row r="50" spans="1:13" x14ac:dyDescent="0.35">
      <c r="A50" s="12"/>
      <c r="B50" s="12"/>
      <c r="C50" s="12"/>
      <c r="D50" s="12"/>
      <c r="E50" s="12"/>
      <c r="F50" s="12"/>
      <c r="G50" s="12"/>
      <c r="H50" s="13"/>
      <c r="I50" s="14" t="str">
        <f t="shared" si="1"/>
        <v/>
      </c>
      <c r="J50" s="15"/>
      <c r="K50" s="13"/>
      <c r="L50" s="12"/>
      <c r="M50" s="12"/>
    </row>
    <row r="51" spans="1:13" x14ac:dyDescent="0.35">
      <c r="A51" s="12"/>
      <c r="B51" s="12"/>
      <c r="C51" s="12"/>
      <c r="D51" s="12"/>
      <c r="E51" s="12"/>
      <c r="F51" s="12"/>
      <c r="G51" s="12"/>
      <c r="H51" s="13"/>
      <c r="I51" s="14" t="str">
        <f t="shared" si="1"/>
        <v/>
      </c>
      <c r="J51" s="15"/>
      <c r="K51" s="13"/>
      <c r="L51" s="12"/>
      <c r="M51" s="12"/>
    </row>
    <row r="52" spans="1:13" x14ac:dyDescent="0.35">
      <c r="A52" s="12"/>
      <c r="B52" s="12"/>
      <c r="C52" s="12"/>
      <c r="D52" s="12"/>
      <c r="E52" s="12"/>
      <c r="F52" s="12"/>
      <c r="G52" s="12"/>
      <c r="H52" s="13"/>
      <c r="I52" s="14" t="str">
        <f t="shared" si="1"/>
        <v/>
      </c>
      <c r="J52" s="15"/>
      <c r="K52" s="13"/>
      <c r="L52" s="12"/>
      <c r="M52" s="12"/>
    </row>
    <row r="53" spans="1:13" x14ac:dyDescent="0.35">
      <c r="A53" s="12"/>
      <c r="B53" s="12"/>
      <c r="C53" s="12"/>
      <c r="D53" s="12"/>
      <c r="E53" s="12"/>
      <c r="F53" s="12"/>
      <c r="G53" s="12"/>
      <c r="H53" s="13"/>
      <c r="I53" s="14" t="str">
        <f t="shared" si="1"/>
        <v/>
      </c>
      <c r="J53" s="15"/>
      <c r="K53" s="13"/>
      <c r="L53" s="12"/>
      <c r="M53" s="12"/>
    </row>
    <row r="54" spans="1:13" x14ac:dyDescent="0.35">
      <c r="A54" s="12"/>
      <c r="B54" s="12"/>
      <c r="C54" s="12"/>
      <c r="D54" s="12"/>
      <c r="E54" s="12"/>
      <c r="F54" s="12"/>
      <c r="G54" s="12"/>
      <c r="H54" s="13"/>
      <c r="I54" s="14" t="str">
        <f t="shared" si="1"/>
        <v/>
      </c>
      <c r="J54" s="15"/>
      <c r="K54" s="13"/>
      <c r="L54" s="12"/>
      <c r="M54" s="12"/>
    </row>
    <row r="55" spans="1:13" x14ac:dyDescent="0.35">
      <c r="A55" s="12"/>
      <c r="B55" s="12"/>
      <c r="C55" s="12"/>
      <c r="D55" s="12"/>
      <c r="E55" s="12"/>
      <c r="F55" s="12"/>
      <c r="G55" s="12"/>
      <c r="H55" s="13"/>
      <c r="I55" s="14" t="str">
        <f t="shared" si="1"/>
        <v/>
      </c>
      <c r="J55" s="15"/>
      <c r="K55" s="13"/>
      <c r="L55" s="12"/>
      <c r="M55" s="12"/>
    </row>
    <row r="56" spans="1:13" x14ac:dyDescent="0.35">
      <c r="A56" s="12"/>
      <c r="B56" s="12"/>
      <c r="C56" s="12"/>
      <c r="D56" s="12"/>
      <c r="E56" s="12"/>
      <c r="F56" s="12"/>
      <c r="G56" s="12"/>
      <c r="H56" s="13"/>
      <c r="I56" s="14" t="str">
        <f t="shared" si="1"/>
        <v/>
      </c>
      <c r="J56" s="15"/>
      <c r="K56" s="13"/>
      <c r="L56" s="12"/>
      <c r="M56" s="12"/>
    </row>
    <row r="57" spans="1:13" x14ac:dyDescent="0.35">
      <c r="A57" s="12"/>
      <c r="B57" s="12"/>
      <c r="C57" s="12"/>
      <c r="D57" s="12"/>
      <c r="E57" s="12"/>
      <c r="F57" s="12"/>
      <c r="G57" s="12"/>
      <c r="H57" s="13"/>
      <c r="I57" s="14" t="str">
        <f t="shared" si="1"/>
        <v/>
      </c>
      <c r="J57" s="15"/>
      <c r="K57" s="13"/>
      <c r="L57" s="12"/>
      <c r="M57" s="12"/>
    </row>
    <row r="58" spans="1:13" x14ac:dyDescent="0.35">
      <c r="A58" s="12"/>
      <c r="B58" s="12"/>
      <c r="C58" s="12"/>
      <c r="D58" s="12"/>
      <c r="E58" s="12"/>
      <c r="F58" s="12"/>
      <c r="G58" s="12"/>
      <c r="H58" s="13"/>
      <c r="I58" s="14" t="str">
        <f t="shared" si="1"/>
        <v/>
      </c>
      <c r="J58" s="15"/>
      <c r="K58" s="13"/>
      <c r="L58" s="12"/>
      <c r="M58" s="12"/>
    </row>
    <row r="59" spans="1:13" x14ac:dyDescent="0.35">
      <c r="A59" s="12"/>
      <c r="B59" s="12"/>
      <c r="C59" s="12"/>
      <c r="D59" s="12"/>
      <c r="E59" s="12"/>
      <c r="F59" s="12"/>
      <c r="G59" s="12"/>
      <c r="H59" s="13"/>
      <c r="I59" s="14" t="str">
        <f t="shared" si="1"/>
        <v/>
      </c>
      <c r="J59" s="15"/>
      <c r="K59" s="13"/>
      <c r="L59" s="12"/>
      <c r="M59" s="12"/>
    </row>
    <row r="60" spans="1:13" x14ac:dyDescent="0.35">
      <c r="A60" s="12"/>
      <c r="B60" s="12"/>
      <c r="C60" s="12"/>
      <c r="D60" s="12"/>
      <c r="E60" s="12"/>
      <c r="F60" s="12"/>
      <c r="G60" s="12"/>
      <c r="H60" s="13"/>
      <c r="I60" s="14" t="str">
        <f t="shared" si="1"/>
        <v/>
      </c>
      <c r="J60" s="15"/>
      <c r="K60" s="13"/>
      <c r="L60" s="12"/>
      <c r="M60" s="12"/>
    </row>
    <row r="61" spans="1:13" x14ac:dyDescent="0.35">
      <c r="A61" s="12"/>
      <c r="B61" s="12"/>
      <c r="C61" s="12"/>
      <c r="D61" s="12"/>
      <c r="E61" s="12"/>
      <c r="F61" s="12"/>
      <c r="G61" s="12"/>
      <c r="H61" s="13"/>
      <c r="I61" s="14" t="str">
        <f t="shared" si="1"/>
        <v/>
      </c>
      <c r="J61" s="15"/>
      <c r="K61" s="13"/>
      <c r="L61" s="12"/>
      <c r="M61" s="12"/>
    </row>
    <row r="62" spans="1:13" x14ac:dyDescent="0.35">
      <c r="A62" s="12"/>
      <c r="B62" s="12"/>
      <c r="C62" s="12"/>
      <c r="D62" s="12"/>
      <c r="E62" s="12"/>
      <c r="F62" s="12"/>
      <c r="G62" s="12"/>
      <c r="H62" s="13"/>
      <c r="I62" s="14" t="str">
        <f t="shared" si="1"/>
        <v/>
      </c>
      <c r="J62" s="15"/>
      <c r="K62" s="13"/>
      <c r="L62" s="12"/>
      <c r="M62" s="12"/>
    </row>
    <row r="63" spans="1:13" x14ac:dyDescent="0.35">
      <c r="A63" s="12"/>
      <c r="B63" s="12"/>
      <c r="C63" s="12"/>
      <c r="D63" s="12"/>
      <c r="E63" s="12"/>
      <c r="F63" s="12"/>
      <c r="G63" s="12"/>
      <c r="H63" s="13"/>
      <c r="I63" s="14" t="str">
        <f t="shared" si="1"/>
        <v/>
      </c>
      <c r="J63" s="15"/>
      <c r="K63" s="13"/>
      <c r="L63" s="12"/>
      <c r="M63" s="12"/>
    </row>
    <row r="65" spans="8:9" x14ac:dyDescent="0.35">
      <c r="H65" s="7" t="s">
        <v>43</v>
      </c>
      <c r="I65" s="8">
        <f>SUM(I4:I63)</f>
        <v>0</v>
      </c>
    </row>
  </sheetData>
  <dataValidations count="2">
    <dataValidation type="list" allowBlank="1" sqref="B4:B63" xr:uid="{00000000-0002-0000-0200-000000000000}">
      <formula1>"Mecánica,Electrónica,Eléctrica,Láser,Consumibles,Herramientas,Otro"</formula1>
    </dataValidation>
    <dataValidation type="list" allowBlank="1" sqref="L4:L63" xr:uid="{00000000-0002-0000-0200-000001000000}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5"/>
  <sheetViews>
    <sheetView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12" customWidth="1"/>
    <col min="2" max="2" width="24" customWidth="1"/>
    <col min="3" max="3" width="14" customWidth="1"/>
    <col min="4" max="4" width="12" customWidth="1"/>
    <col min="5" max="5" width="9" customWidth="1"/>
    <col min="6" max="6" width="48" customWidth="1"/>
    <col min="7" max="7" width="16" customWidth="1"/>
  </cols>
  <sheetData>
    <row r="1" spans="1:7" ht="16.5" x14ac:dyDescent="0.35">
      <c r="A1" s="1" t="s">
        <v>44</v>
      </c>
    </row>
    <row r="2" spans="1:7" x14ac:dyDescent="0.35">
      <c r="A2" s="2" t="s">
        <v>45</v>
      </c>
    </row>
    <row r="3" spans="1:7" x14ac:dyDescent="0.35">
      <c r="A3" s="9" t="s">
        <v>31</v>
      </c>
      <c r="B3" s="9" t="s">
        <v>8</v>
      </c>
      <c r="C3" s="9" t="s">
        <v>19</v>
      </c>
      <c r="D3" s="9" t="s">
        <v>46</v>
      </c>
      <c r="E3" s="9" t="s">
        <v>9</v>
      </c>
      <c r="F3" s="9" t="s">
        <v>47</v>
      </c>
      <c r="G3" s="9" t="s">
        <v>10</v>
      </c>
    </row>
    <row r="4" spans="1:7" x14ac:dyDescent="0.35">
      <c r="A4" s="12"/>
      <c r="B4" s="12"/>
      <c r="C4" s="12"/>
      <c r="D4" s="12"/>
      <c r="E4" s="16"/>
      <c r="F4" s="12"/>
      <c r="G4" s="5" t="str">
        <f>IF(AND(ISNUMBER(E4),C4&lt;&gt;""),E4*IFERROR(VLOOKUP(C4,Tarifas!$A$4:$B$7,2,0),0),"")</f>
        <v/>
      </c>
    </row>
    <row r="5" spans="1:7" x14ac:dyDescent="0.35">
      <c r="A5" s="12"/>
      <c r="B5" s="12"/>
      <c r="C5" s="12"/>
      <c r="D5" s="12"/>
      <c r="E5" s="16"/>
      <c r="F5" s="12"/>
      <c r="G5" s="5" t="str">
        <f>IF(AND(ISNUMBER(E5),C5&lt;&gt;""),E5*IFERROR(VLOOKUP(C5,Tarifas!$A$4:$B$7,2,0),0),"")</f>
        <v/>
      </c>
    </row>
    <row r="6" spans="1:7" x14ac:dyDescent="0.35">
      <c r="A6" s="12"/>
      <c r="B6" s="12"/>
      <c r="C6" s="12"/>
      <c r="D6" s="12"/>
      <c r="E6" s="16"/>
      <c r="F6" s="12"/>
      <c r="G6" s="5" t="str">
        <f>IF(AND(ISNUMBER(E6),C6&lt;&gt;""),E6*IFERROR(VLOOKUP(C6,Tarifas!$A$4:$B$7,2,0),0),"")</f>
        <v/>
      </c>
    </row>
    <row r="7" spans="1:7" x14ac:dyDescent="0.35">
      <c r="A7" s="12"/>
      <c r="B7" s="12"/>
      <c r="C7" s="12"/>
      <c r="D7" s="12"/>
      <c r="E7" s="16"/>
      <c r="F7" s="12"/>
      <c r="G7" s="5" t="str">
        <f>IF(AND(ISNUMBER(E7),C7&lt;&gt;""),E7*IFERROR(VLOOKUP(C7,Tarifas!$A$4:$B$7,2,0),0),"")</f>
        <v/>
      </c>
    </row>
    <row r="8" spans="1:7" x14ac:dyDescent="0.35">
      <c r="A8" s="12"/>
      <c r="B8" s="12"/>
      <c r="C8" s="12"/>
      <c r="D8" s="12"/>
      <c r="E8" s="16"/>
      <c r="F8" s="12"/>
      <c r="G8" s="5" t="str">
        <f>IF(AND(ISNUMBER(E8),C8&lt;&gt;""),E8*IFERROR(VLOOKUP(C8,Tarifas!$A$4:$B$7,2,0),0),"")</f>
        <v/>
      </c>
    </row>
    <row r="9" spans="1:7" x14ac:dyDescent="0.35">
      <c r="A9" s="12"/>
      <c r="B9" s="12"/>
      <c r="C9" s="12"/>
      <c r="D9" s="12"/>
      <c r="E9" s="16"/>
      <c r="F9" s="12"/>
      <c r="G9" s="5" t="str">
        <f>IF(AND(ISNUMBER(E9),C9&lt;&gt;""),E9*IFERROR(VLOOKUP(C9,Tarifas!$A$4:$B$7,2,0),0),"")</f>
        <v/>
      </c>
    </row>
    <row r="10" spans="1:7" x14ac:dyDescent="0.35">
      <c r="A10" s="12"/>
      <c r="B10" s="12"/>
      <c r="C10" s="12"/>
      <c r="D10" s="12"/>
      <c r="E10" s="16"/>
      <c r="F10" s="12"/>
      <c r="G10" s="5" t="str">
        <f>IF(AND(ISNUMBER(E10),C10&lt;&gt;""),E10*IFERROR(VLOOKUP(C10,Tarifas!$A$4:$B$7,2,0),0),"")</f>
        <v/>
      </c>
    </row>
    <row r="11" spans="1:7" x14ac:dyDescent="0.35">
      <c r="A11" s="12"/>
      <c r="B11" s="12"/>
      <c r="C11" s="12"/>
      <c r="D11" s="12"/>
      <c r="E11" s="16"/>
      <c r="F11" s="12"/>
      <c r="G11" s="5" t="str">
        <f>IF(AND(ISNUMBER(E11),C11&lt;&gt;""),E11*IFERROR(VLOOKUP(C11,Tarifas!$A$4:$B$7,2,0),0),"")</f>
        <v/>
      </c>
    </row>
    <row r="12" spans="1:7" x14ac:dyDescent="0.35">
      <c r="A12" s="12"/>
      <c r="B12" s="12"/>
      <c r="C12" s="12"/>
      <c r="D12" s="12"/>
      <c r="E12" s="16"/>
      <c r="F12" s="12"/>
      <c r="G12" s="5" t="str">
        <f>IF(AND(ISNUMBER(E12),C12&lt;&gt;""),E12*IFERROR(VLOOKUP(C12,Tarifas!$A$4:$B$7,2,0),0),"")</f>
        <v/>
      </c>
    </row>
    <row r="13" spans="1:7" x14ac:dyDescent="0.35">
      <c r="A13" s="12"/>
      <c r="B13" s="12"/>
      <c r="C13" s="12"/>
      <c r="D13" s="12"/>
      <c r="E13" s="16"/>
      <c r="F13" s="12"/>
      <c r="G13" s="5" t="str">
        <f>IF(AND(ISNUMBER(E13),C13&lt;&gt;""),E13*IFERROR(VLOOKUP(C13,Tarifas!$A$4:$B$7,2,0),0),"")</f>
        <v/>
      </c>
    </row>
    <row r="14" spans="1:7" x14ac:dyDescent="0.35">
      <c r="A14" s="12"/>
      <c r="B14" s="12"/>
      <c r="C14" s="12"/>
      <c r="D14" s="12"/>
      <c r="E14" s="16"/>
      <c r="F14" s="12"/>
      <c r="G14" s="5" t="str">
        <f>IF(AND(ISNUMBER(E14),C14&lt;&gt;""),E14*IFERROR(VLOOKUP(C14,Tarifas!$A$4:$B$7,2,0),0),"")</f>
        <v/>
      </c>
    </row>
    <row r="15" spans="1:7" x14ac:dyDescent="0.35">
      <c r="A15" s="12"/>
      <c r="B15" s="12"/>
      <c r="C15" s="12"/>
      <c r="D15" s="12"/>
      <c r="E15" s="16"/>
      <c r="F15" s="12"/>
      <c r="G15" s="5" t="str">
        <f>IF(AND(ISNUMBER(E15),C15&lt;&gt;""),E15*IFERROR(VLOOKUP(C15,Tarifas!$A$4:$B$7,2,0),0),"")</f>
        <v/>
      </c>
    </row>
    <row r="16" spans="1:7" x14ac:dyDescent="0.35">
      <c r="A16" s="12"/>
      <c r="B16" s="12"/>
      <c r="C16" s="12"/>
      <c r="D16" s="12"/>
      <c r="E16" s="16"/>
      <c r="F16" s="12"/>
      <c r="G16" s="5" t="str">
        <f>IF(AND(ISNUMBER(E16),C16&lt;&gt;""),E16*IFERROR(VLOOKUP(C16,Tarifas!$A$4:$B$7,2,0),0),"")</f>
        <v/>
      </c>
    </row>
    <row r="17" spans="1:7" x14ac:dyDescent="0.35">
      <c r="A17" s="12"/>
      <c r="B17" s="12"/>
      <c r="C17" s="12"/>
      <c r="D17" s="12"/>
      <c r="E17" s="16"/>
      <c r="F17" s="12"/>
      <c r="G17" s="5" t="str">
        <f>IF(AND(ISNUMBER(E17),C17&lt;&gt;""),E17*IFERROR(VLOOKUP(C17,Tarifas!$A$4:$B$7,2,0),0),"")</f>
        <v/>
      </c>
    </row>
    <row r="18" spans="1:7" x14ac:dyDescent="0.35">
      <c r="A18" s="12"/>
      <c r="B18" s="12"/>
      <c r="C18" s="12"/>
      <c r="D18" s="12"/>
      <c r="E18" s="16"/>
      <c r="F18" s="12"/>
      <c r="G18" s="5" t="str">
        <f>IF(AND(ISNUMBER(E18),C18&lt;&gt;""),E18*IFERROR(VLOOKUP(C18,Tarifas!$A$4:$B$7,2,0),0),"")</f>
        <v/>
      </c>
    </row>
    <row r="19" spans="1:7" x14ac:dyDescent="0.35">
      <c r="A19" s="12"/>
      <c r="B19" s="12"/>
      <c r="C19" s="12"/>
      <c r="D19" s="12"/>
      <c r="E19" s="16"/>
      <c r="F19" s="12"/>
      <c r="G19" s="5" t="str">
        <f>IF(AND(ISNUMBER(E19),C19&lt;&gt;""),E19*IFERROR(VLOOKUP(C19,Tarifas!$A$4:$B$7,2,0),0),"")</f>
        <v/>
      </c>
    </row>
    <row r="20" spans="1:7" x14ac:dyDescent="0.35">
      <c r="A20" s="12"/>
      <c r="B20" s="12"/>
      <c r="C20" s="12"/>
      <c r="D20" s="12"/>
      <c r="E20" s="16"/>
      <c r="F20" s="12"/>
      <c r="G20" s="5" t="str">
        <f>IF(AND(ISNUMBER(E20),C20&lt;&gt;""),E20*IFERROR(VLOOKUP(C20,Tarifas!$A$4:$B$7,2,0),0),"")</f>
        <v/>
      </c>
    </row>
    <row r="21" spans="1:7" x14ac:dyDescent="0.35">
      <c r="A21" s="12"/>
      <c r="B21" s="12"/>
      <c r="C21" s="12"/>
      <c r="D21" s="12"/>
      <c r="E21" s="16"/>
      <c r="F21" s="12"/>
      <c r="G21" s="5" t="str">
        <f>IF(AND(ISNUMBER(E21),C21&lt;&gt;""),E21*IFERROR(VLOOKUP(C21,Tarifas!$A$4:$B$7,2,0),0),"")</f>
        <v/>
      </c>
    </row>
    <row r="22" spans="1:7" x14ac:dyDescent="0.35">
      <c r="A22" s="12"/>
      <c r="B22" s="12"/>
      <c r="C22" s="12"/>
      <c r="D22" s="12"/>
      <c r="E22" s="16"/>
      <c r="F22" s="12"/>
      <c r="G22" s="5" t="str">
        <f>IF(AND(ISNUMBER(E22),C22&lt;&gt;""),E22*IFERROR(VLOOKUP(C22,Tarifas!$A$4:$B$7,2,0),0),"")</f>
        <v/>
      </c>
    </row>
    <row r="23" spans="1:7" x14ac:dyDescent="0.35">
      <c r="A23" s="12"/>
      <c r="B23" s="12"/>
      <c r="C23" s="12"/>
      <c r="D23" s="12"/>
      <c r="E23" s="16"/>
      <c r="F23" s="12"/>
      <c r="G23" s="5" t="str">
        <f>IF(AND(ISNUMBER(E23),C23&lt;&gt;""),E23*IFERROR(VLOOKUP(C23,Tarifas!$A$4:$B$7,2,0),0),"")</f>
        <v/>
      </c>
    </row>
    <row r="24" spans="1:7" x14ac:dyDescent="0.35">
      <c r="A24" s="12"/>
      <c r="B24" s="12"/>
      <c r="C24" s="12"/>
      <c r="D24" s="12"/>
      <c r="E24" s="16"/>
      <c r="F24" s="12"/>
      <c r="G24" s="5" t="str">
        <f>IF(AND(ISNUMBER(E24),C24&lt;&gt;""),E24*IFERROR(VLOOKUP(C24,Tarifas!$A$4:$B$7,2,0),0),"")</f>
        <v/>
      </c>
    </row>
    <row r="25" spans="1:7" x14ac:dyDescent="0.35">
      <c r="A25" s="12"/>
      <c r="B25" s="12"/>
      <c r="C25" s="12"/>
      <c r="D25" s="12"/>
      <c r="E25" s="16"/>
      <c r="F25" s="12"/>
      <c r="G25" s="5" t="str">
        <f>IF(AND(ISNUMBER(E25),C25&lt;&gt;""),E25*IFERROR(VLOOKUP(C25,Tarifas!$A$4:$B$7,2,0),0),"")</f>
        <v/>
      </c>
    </row>
    <row r="26" spans="1:7" x14ac:dyDescent="0.35">
      <c r="A26" s="12"/>
      <c r="B26" s="12"/>
      <c r="C26" s="12"/>
      <c r="D26" s="12"/>
      <c r="E26" s="16"/>
      <c r="F26" s="12"/>
      <c r="G26" s="5" t="str">
        <f>IF(AND(ISNUMBER(E26),C26&lt;&gt;""),E26*IFERROR(VLOOKUP(C26,Tarifas!$A$4:$B$7,2,0),0),"")</f>
        <v/>
      </c>
    </row>
    <row r="27" spans="1:7" x14ac:dyDescent="0.35">
      <c r="A27" s="12"/>
      <c r="B27" s="12"/>
      <c r="C27" s="12"/>
      <c r="D27" s="12"/>
      <c r="E27" s="16"/>
      <c r="F27" s="12"/>
      <c r="G27" s="5" t="str">
        <f>IF(AND(ISNUMBER(E27),C27&lt;&gt;""),E27*IFERROR(VLOOKUP(C27,Tarifas!$A$4:$B$7,2,0),0),"")</f>
        <v/>
      </c>
    </row>
    <row r="28" spans="1:7" x14ac:dyDescent="0.35">
      <c r="A28" s="12"/>
      <c r="B28" s="12"/>
      <c r="C28" s="12"/>
      <c r="D28" s="12"/>
      <c r="E28" s="16"/>
      <c r="F28" s="12"/>
      <c r="G28" s="5" t="str">
        <f>IF(AND(ISNUMBER(E28),C28&lt;&gt;""),E28*IFERROR(VLOOKUP(C28,Tarifas!$A$4:$B$7,2,0),0),"")</f>
        <v/>
      </c>
    </row>
    <row r="29" spans="1:7" x14ac:dyDescent="0.35">
      <c r="A29" s="12"/>
      <c r="B29" s="12"/>
      <c r="C29" s="12"/>
      <c r="D29" s="12"/>
      <c r="E29" s="16"/>
      <c r="F29" s="12"/>
      <c r="G29" s="5" t="str">
        <f>IF(AND(ISNUMBER(E29),C29&lt;&gt;""),E29*IFERROR(VLOOKUP(C29,Tarifas!$A$4:$B$7,2,0),0),"")</f>
        <v/>
      </c>
    </row>
    <row r="30" spans="1:7" x14ac:dyDescent="0.35">
      <c r="A30" s="12"/>
      <c r="B30" s="12"/>
      <c r="C30" s="12"/>
      <c r="D30" s="12"/>
      <c r="E30" s="16"/>
      <c r="F30" s="12"/>
      <c r="G30" s="5" t="str">
        <f>IF(AND(ISNUMBER(E30),C30&lt;&gt;""),E30*IFERROR(VLOOKUP(C30,Tarifas!$A$4:$B$7,2,0),0),"")</f>
        <v/>
      </c>
    </row>
    <row r="31" spans="1:7" x14ac:dyDescent="0.35">
      <c r="A31" s="12"/>
      <c r="B31" s="12"/>
      <c r="C31" s="12"/>
      <c r="D31" s="12"/>
      <c r="E31" s="16"/>
      <c r="F31" s="12"/>
      <c r="G31" s="5" t="str">
        <f>IF(AND(ISNUMBER(E31),C31&lt;&gt;""),E31*IFERROR(VLOOKUP(C31,Tarifas!$A$4:$B$7,2,0),0),"")</f>
        <v/>
      </c>
    </row>
    <row r="32" spans="1:7" x14ac:dyDescent="0.35">
      <c r="A32" s="12"/>
      <c r="B32" s="12"/>
      <c r="C32" s="12"/>
      <c r="D32" s="12"/>
      <c r="E32" s="16"/>
      <c r="F32" s="12"/>
      <c r="G32" s="5" t="str">
        <f>IF(AND(ISNUMBER(E32),C32&lt;&gt;""),E32*IFERROR(VLOOKUP(C32,Tarifas!$A$4:$B$7,2,0),0),"")</f>
        <v/>
      </c>
    </row>
    <row r="33" spans="1:7" x14ac:dyDescent="0.35">
      <c r="A33" s="12"/>
      <c r="B33" s="12"/>
      <c r="C33" s="12"/>
      <c r="D33" s="12"/>
      <c r="E33" s="16"/>
      <c r="F33" s="12"/>
      <c r="G33" s="5" t="str">
        <f>IF(AND(ISNUMBER(E33),C33&lt;&gt;""),E33*IFERROR(VLOOKUP(C33,Tarifas!$A$4:$B$7,2,0),0),"")</f>
        <v/>
      </c>
    </row>
    <row r="34" spans="1:7" x14ac:dyDescent="0.35">
      <c r="A34" s="12"/>
      <c r="B34" s="12"/>
      <c r="C34" s="12"/>
      <c r="D34" s="12"/>
      <c r="E34" s="16"/>
      <c r="F34" s="12"/>
      <c r="G34" s="5" t="str">
        <f>IF(AND(ISNUMBER(E34),C34&lt;&gt;""),E34*IFERROR(VLOOKUP(C34,Tarifas!$A$4:$B$7,2,0),0),"")</f>
        <v/>
      </c>
    </row>
    <row r="35" spans="1:7" x14ac:dyDescent="0.35">
      <c r="A35" s="12"/>
      <c r="B35" s="12"/>
      <c r="C35" s="12"/>
      <c r="D35" s="12"/>
      <c r="E35" s="16"/>
      <c r="F35" s="12"/>
      <c r="G35" s="5" t="str">
        <f>IF(AND(ISNUMBER(E35),C35&lt;&gt;""),E35*IFERROR(VLOOKUP(C35,Tarifas!$A$4:$B$7,2,0),0),"")</f>
        <v/>
      </c>
    </row>
    <row r="36" spans="1:7" x14ac:dyDescent="0.35">
      <c r="A36" s="12"/>
      <c r="B36" s="12"/>
      <c r="C36" s="12"/>
      <c r="D36" s="12"/>
      <c r="E36" s="16"/>
      <c r="F36" s="12"/>
      <c r="G36" s="5" t="str">
        <f>IF(AND(ISNUMBER(E36),C36&lt;&gt;""),E36*IFERROR(VLOOKUP(C36,Tarifas!$A$4:$B$7,2,0),0),"")</f>
        <v/>
      </c>
    </row>
    <row r="37" spans="1:7" x14ac:dyDescent="0.35">
      <c r="A37" s="12"/>
      <c r="B37" s="12"/>
      <c r="C37" s="12"/>
      <c r="D37" s="12"/>
      <c r="E37" s="16"/>
      <c r="F37" s="12"/>
      <c r="G37" s="5" t="str">
        <f>IF(AND(ISNUMBER(E37),C37&lt;&gt;""),E37*IFERROR(VLOOKUP(C37,Tarifas!$A$4:$B$7,2,0),0),"")</f>
        <v/>
      </c>
    </row>
    <row r="38" spans="1:7" x14ac:dyDescent="0.35">
      <c r="A38" s="12"/>
      <c r="B38" s="12"/>
      <c r="C38" s="12"/>
      <c r="D38" s="12"/>
      <c r="E38" s="16"/>
      <c r="F38" s="12"/>
      <c r="G38" s="5" t="str">
        <f>IF(AND(ISNUMBER(E38),C38&lt;&gt;""),E38*IFERROR(VLOOKUP(C38,Tarifas!$A$4:$B$7,2,0),0),"")</f>
        <v/>
      </c>
    </row>
    <row r="39" spans="1:7" x14ac:dyDescent="0.35">
      <c r="A39" s="12"/>
      <c r="B39" s="12"/>
      <c r="C39" s="12"/>
      <c r="D39" s="12"/>
      <c r="E39" s="16"/>
      <c r="F39" s="12"/>
      <c r="G39" s="5" t="str">
        <f>IF(AND(ISNUMBER(E39),C39&lt;&gt;""),E39*IFERROR(VLOOKUP(C39,Tarifas!$A$4:$B$7,2,0),0),"")</f>
        <v/>
      </c>
    </row>
    <row r="40" spans="1:7" x14ac:dyDescent="0.35">
      <c r="A40" s="12"/>
      <c r="B40" s="12"/>
      <c r="C40" s="12"/>
      <c r="D40" s="12"/>
      <c r="E40" s="16"/>
      <c r="F40" s="12"/>
      <c r="G40" s="5" t="str">
        <f>IF(AND(ISNUMBER(E40),C40&lt;&gt;""),E40*IFERROR(VLOOKUP(C40,Tarifas!$A$4:$B$7,2,0),0),"")</f>
        <v/>
      </c>
    </row>
    <row r="41" spans="1:7" x14ac:dyDescent="0.35">
      <c r="A41" s="12"/>
      <c r="B41" s="12"/>
      <c r="C41" s="12"/>
      <c r="D41" s="12"/>
      <c r="E41" s="16"/>
      <c r="F41" s="12"/>
      <c r="G41" s="5" t="str">
        <f>IF(AND(ISNUMBER(E41),C41&lt;&gt;""),E41*IFERROR(VLOOKUP(C41,Tarifas!$A$4:$B$7,2,0),0),"")</f>
        <v/>
      </c>
    </row>
    <row r="42" spans="1:7" x14ac:dyDescent="0.35">
      <c r="A42" s="12"/>
      <c r="B42" s="12"/>
      <c r="C42" s="12"/>
      <c r="D42" s="12"/>
      <c r="E42" s="16"/>
      <c r="F42" s="12"/>
      <c r="G42" s="5" t="str">
        <f>IF(AND(ISNUMBER(E42),C42&lt;&gt;""),E42*IFERROR(VLOOKUP(C42,Tarifas!$A$4:$B$7,2,0),0),"")</f>
        <v/>
      </c>
    </row>
    <row r="43" spans="1:7" x14ac:dyDescent="0.35">
      <c r="A43" s="12"/>
      <c r="B43" s="12"/>
      <c r="C43" s="12"/>
      <c r="D43" s="12"/>
      <c r="E43" s="16"/>
      <c r="F43" s="12"/>
      <c r="G43" s="5" t="str">
        <f>IF(AND(ISNUMBER(E43),C43&lt;&gt;""),E43*IFERROR(VLOOKUP(C43,Tarifas!$A$4:$B$7,2,0),0),"")</f>
        <v/>
      </c>
    </row>
    <row r="44" spans="1:7" x14ac:dyDescent="0.35">
      <c r="A44" s="12"/>
      <c r="B44" s="12"/>
      <c r="C44" s="12"/>
      <c r="D44" s="12"/>
      <c r="E44" s="16"/>
      <c r="F44" s="12"/>
      <c r="G44" s="5" t="str">
        <f>IF(AND(ISNUMBER(E44),C44&lt;&gt;""),E44*IFERROR(VLOOKUP(C44,Tarifas!$A$4:$B$7,2,0),0),"")</f>
        <v/>
      </c>
    </row>
    <row r="45" spans="1:7" x14ac:dyDescent="0.35">
      <c r="A45" s="12"/>
      <c r="B45" s="12"/>
      <c r="C45" s="12"/>
      <c r="D45" s="12"/>
      <c r="E45" s="16"/>
      <c r="F45" s="12"/>
      <c r="G45" s="5" t="str">
        <f>IF(AND(ISNUMBER(E45),C45&lt;&gt;""),E45*IFERROR(VLOOKUP(C45,Tarifas!$A$4:$B$7,2,0),0),"")</f>
        <v/>
      </c>
    </row>
    <row r="46" spans="1:7" x14ac:dyDescent="0.35">
      <c r="A46" s="12"/>
      <c r="B46" s="12"/>
      <c r="C46" s="12"/>
      <c r="D46" s="12"/>
      <c r="E46" s="16"/>
      <c r="F46" s="12"/>
      <c r="G46" s="5" t="str">
        <f>IF(AND(ISNUMBER(E46),C46&lt;&gt;""),E46*IFERROR(VLOOKUP(C46,Tarifas!$A$4:$B$7,2,0),0),"")</f>
        <v/>
      </c>
    </row>
    <row r="47" spans="1:7" x14ac:dyDescent="0.35">
      <c r="A47" s="12"/>
      <c r="B47" s="12"/>
      <c r="C47" s="12"/>
      <c r="D47" s="12"/>
      <c r="E47" s="16"/>
      <c r="F47" s="12"/>
      <c r="G47" s="5" t="str">
        <f>IF(AND(ISNUMBER(E47),C47&lt;&gt;""),E47*IFERROR(VLOOKUP(C47,Tarifas!$A$4:$B$7,2,0),0),"")</f>
        <v/>
      </c>
    </row>
    <row r="48" spans="1:7" x14ac:dyDescent="0.35">
      <c r="A48" s="12"/>
      <c r="B48" s="12"/>
      <c r="C48" s="12"/>
      <c r="D48" s="12"/>
      <c r="E48" s="16"/>
      <c r="F48" s="12"/>
      <c r="G48" s="5" t="str">
        <f>IF(AND(ISNUMBER(E48),C48&lt;&gt;""),E48*IFERROR(VLOOKUP(C48,Tarifas!$A$4:$B$7,2,0),0),"")</f>
        <v/>
      </c>
    </row>
    <row r="49" spans="1:7" x14ac:dyDescent="0.35">
      <c r="A49" s="12"/>
      <c r="B49" s="12"/>
      <c r="C49" s="12"/>
      <c r="D49" s="12"/>
      <c r="E49" s="16"/>
      <c r="F49" s="12"/>
      <c r="G49" s="5" t="str">
        <f>IF(AND(ISNUMBER(E49),C49&lt;&gt;""),E49*IFERROR(VLOOKUP(C49,Tarifas!$A$4:$B$7,2,0),0),"")</f>
        <v/>
      </c>
    </row>
    <row r="50" spans="1:7" x14ac:dyDescent="0.35">
      <c r="A50" s="12"/>
      <c r="B50" s="12"/>
      <c r="C50" s="12"/>
      <c r="D50" s="12"/>
      <c r="E50" s="16"/>
      <c r="F50" s="12"/>
      <c r="G50" s="5" t="str">
        <f>IF(AND(ISNUMBER(E50),C50&lt;&gt;""),E50*IFERROR(VLOOKUP(C50,Tarifas!$A$4:$B$7,2,0),0),"")</f>
        <v/>
      </c>
    </row>
    <row r="51" spans="1:7" x14ac:dyDescent="0.35">
      <c r="A51" s="12"/>
      <c r="B51" s="12"/>
      <c r="C51" s="12"/>
      <c r="D51" s="12"/>
      <c r="E51" s="16"/>
      <c r="F51" s="12"/>
      <c r="G51" s="5" t="str">
        <f>IF(AND(ISNUMBER(E51),C51&lt;&gt;""),E51*IFERROR(VLOOKUP(C51,Tarifas!$A$4:$B$7,2,0),0),"")</f>
        <v/>
      </c>
    </row>
    <row r="52" spans="1:7" x14ac:dyDescent="0.35">
      <c r="A52" s="12"/>
      <c r="B52" s="12"/>
      <c r="C52" s="12"/>
      <c r="D52" s="12"/>
      <c r="E52" s="16"/>
      <c r="F52" s="12"/>
      <c r="G52" s="5" t="str">
        <f>IF(AND(ISNUMBER(E52),C52&lt;&gt;""),E52*IFERROR(VLOOKUP(C52,Tarifas!$A$4:$B$7,2,0),0),"")</f>
        <v/>
      </c>
    </row>
    <row r="53" spans="1:7" x14ac:dyDescent="0.35">
      <c r="A53" s="12"/>
      <c r="B53" s="12"/>
      <c r="C53" s="12"/>
      <c r="D53" s="12"/>
      <c r="E53" s="16"/>
      <c r="F53" s="12"/>
      <c r="G53" s="5" t="str">
        <f>IF(AND(ISNUMBER(E53),C53&lt;&gt;""),E53*IFERROR(VLOOKUP(C53,Tarifas!$A$4:$B$7,2,0),0),"")</f>
        <v/>
      </c>
    </row>
    <row r="54" spans="1:7" x14ac:dyDescent="0.35">
      <c r="A54" s="12"/>
      <c r="B54" s="12"/>
      <c r="C54" s="12"/>
      <c r="D54" s="12"/>
      <c r="E54" s="16"/>
      <c r="F54" s="12"/>
      <c r="G54" s="5" t="str">
        <f>IF(AND(ISNUMBER(E54),C54&lt;&gt;""),E54*IFERROR(VLOOKUP(C54,Tarifas!$A$4:$B$7,2,0),0),"")</f>
        <v/>
      </c>
    </row>
    <row r="55" spans="1:7" x14ac:dyDescent="0.35">
      <c r="A55" s="12"/>
      <c r="B55" s="12"/>
      <c r="C55" s="12"/>
      <c r="D55" s="12"/>
      <c r="E55" s="16"/>
      <c r="F55" s="12"/>
      <c r="G55" s="5" t="str">
        <f>IF(AND(ISNUMBER(E55),C55&lt;&gt;""),E55*IFERROR(VLOOKUP(C55,Tarifas!$A$4:$B$7,2,0),0),"")</f>
        <v/>
      </c>
    </row>
    <row r="56" spans="1:7" x14ac:dyDescent="0.35">
      <c r="A56" s="12"/>
      <c r="B56" s="12"/>
      <c r="C56" s="12"/>
      <c r="D56" s="12"/>
      <c r="E56" s="16"/>
      <c r="F56" s="12"/>
      <c r="G56" s="5" t="str">
        <f>IF(AND(ISNUMBER(E56),C56&lt;&gt;""),E56*IFERROR(VLOOKUP(C56,Tarifas!$A$4:$B$7,2,0),0),"")</f>
        <v/>
      </c>
    </row>
    <row r="57" spans="1:7" x14ac:dyDescent="0.35">
      <c r="A57" s="12"/>
      <c r="B57" s="12"/>
      <c r="C57" s="12"/>
      <c r="D57" s="12"/>
      <c r="E57" s="16"/>
      <c r="F57" s="12"/>
      <c r="G57" s="5" t="str">
        <f>IF(AND(ISNUMBER(E57),C57&lt;&gt;""),E57*IFERROR(VLOOKUP(C57,Tarifas!$A$4:$B$7,2,0),0),"")</f>
        <v/>
      </c>
    </row>
    <row r="58" spans="1:7" x14ac:dyDescent="0.35">
      <c r="A58" s="12"/>
      <c r="B58" s="12"/>
      <c r="C58" s="12"/>
      <c r="D58" s="12"/>
      <c r="E58" s="16"/>
      <c r="F58" s="12"/>
      <c r="G58" s="5" t="str">
        <f>IF(AND(ISNUMBER(E58),C58&lt;&gt;""),E58*IFERROR(VLOOKUP(C58,Tarifas!$A$4:$B$7,2,0),0),"")</f>
        <v/>
      </c>
    </row>
    <row r="59" spans="1:7" x14ac:dyDescent="0.35">
      <c r="A59" s="12"/>
      <c r="B59" s="12"/>
      <c r="C59" s="12"/>
      <c r="D59" s="12"/>
      <c r="E59" s="16"/>
      <c r="F59" s="12"/>
      <c r="G59" s="5" t="str">
        <f>IF(AND(ISNUMBER(E59),C59&lt;&gt;""),E59*IFERROR(VLOOKUP(C59,Tarifas!$A$4:$B$7,2,0),0),"")</f>
        <v/>
      </c>
    </row>
    <row r="60" spans="1:7" x14ac:dyDescent="0.35">
      <c r="A60" s="12"/>
      <c r="B60" s="12"/>
      <c r="C60" s="12"/>
      <c r="D60" s="12"/>
      <c r="E60" s="16"/>
      <c r="F60" s="12"/>
      <c r="G60" s="5" t="str">
        <f>IF(AND(ISNUMBER(E60),C60&lt;&gt;""),E60*IFERROR(VLOOKUP(C60,Tarifas!$A$4:$B$7,2,0),0),"")</f>
        <v/>
      </c>
    </row>
    <row r="61" spans="1:7" x14ac:dyDescent="0.35">
      <c r="A61" s="12"/>
      <c r="B61" s="12"/>
      <c r="C61" s="12"/>
      <c r="D61" s="12"/>
      <c r="E61" s="16"/>
      <c r="F61" s="12"/>
      <c r="G61" s="5" t="str">
        <f>IF(AND(ISNUMBER(E61),C61&lt;&gt;""),E61*IFERROR(VLOOKUP(C61,Tarifas!$A$4:$B$7,2,0),0),"")</f>
        <v/>
      </c>
    </row>
    <row r="62" spans="1:7" x14ac:dyDescent="0.35">
      <c r="A62" s="12"/>
      <c r="B62" s="12"/>
      <c r="C62" s="12"/>
      <c r="D62" s="12"/>
      <c r="E62" s="16"/>
      <c r="F62" s="12"/>
      <c r="G62" s="5" t="str">
        <f>IF(AND(ISNUMBER(E62),C62&lt;&gt;""),E62*IFERROR(VLOOKUP(C62,Tarifas!$A$4:$B$7,2,0),0),"")</f>
        <v/>
      </c>
    </row>
    <row r="63" spans="1:7" x14ac:dyDescent="0.35">
      <c r="A63" s="12"/>
      <c r="B63" s="12"/>
      <c r="C63" s="12"/>
      <c r="D63" s="12"/>
      <c r="E63" s="16"/>
      <c r="F63" s="12"/>
      <c r="G63" s="5" t="str">
        <f>IF(AND(ISNUMBER(E63),C63&lt;&gt;""),E63*IFERROR(VLOOKUP(C63,Tarifas!$A$4:$B$7,2,0),0),"")</f>
        <v/>
      </c>
    </row>
    <row r="65" spans="4:7" x14ac:dyDescent="0.35">
      <c r="D65" s="7" t="s">
        <v>2</v>
      </c>
      <c r="E65" s="17">
        <f>SUM(E4:E63)</f>
        <v>0</v>
      </c>
      <c r="F65" s="18"/>
      <c r="G65" s="8">
        <f>SUM(G4:G63)</f>
        <v>0</v>
      </c>
    </row>
  </sheetData>
  <dataValidations count="2">
    <dataValidation type="list" allowBlank="1" sqref="B4:B63" xr:uid="{00000000-0002-0000-0300-000000000000}">
      <formula1>"Mecánica,Eléctrica,Electrónica,Programación/Configuración,Pruebas,Documentación,Otro"</formula1>
    </dataValidation>
    <dataValidation type="list" allowBlank="1" sqref="C4:C63" xr:uid="{00000000-0002-0000-0300-000001000000}">
      <formula1>"Mecánico,Electricista,Electrónico,Programador"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Tarifas</vt:lpstr>
      <vt:lpstr>Materiales</vt:lpstr>
      <vt:lpstr>Horas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Wise Parnert</cp:lastModifiedBy>
  <dcterms:created xsi:type="dcterms:W3CDTF">2026-07-05T00:41:24Z</dcterms:created>
  <dcterms:modified xsi:type="dcterms:W3CDTF">2026-07-05T00:42:24Z</dcterms:modified>
</cp:coreProperties>
</file>